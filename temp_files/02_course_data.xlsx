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Performance" sheetId="1" state="visible" r:id="rId1"/>
    <sheet xmlns:r="http://schemas.openxmlformats.org/officeDocument/2006/relationships"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c3e7a"/>
      </patternFill>
    </fill>
    <fill>
      <patternFill patternType="solid">
        <fgColor rgb="00FFFFFF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6" customWidth="1" min="4" max="4"/>
    <col width="14" customWidth="1" min="5" max="5"/>
    <col width="14" customWidth="1" min="6" max="6"/>
    <col width="16" customWidth="1" min="7" max="7"/>
    <col width="12" customWidth="1" min="8" max="8"/>
  </cols>
  <sheetData>
    <row r="1" ht="22" customHeight="1">
      <c r="A1" s="1" t="inlineStr">
        <is>
          <t>Student ID</t>
        </is>
      </c>
      <c r="B1" s="1" t="inlineStr">
        <is>
          <t>Full Name</t>
        </is>
      </c>
      <c r="C1" s="1" t="inlineStr">
        <is>
          <t>Assessments</t>
        </is>
      </c>
      <c r="F1" s="1" t="inlineStr">
        <is>
          <t>Participation</t>
        </is>
      </c>
      <c r="H1" s="1" t="inlineStr">
        <is>
          <t>Final Grade</t>
        </is>
      </c>
    </row>
    <row r="2" ht="32" customHeight="1">
      <c r="C2" s="2" t="inlineStr">
        <is>
          <t>Midterm (%)</t>
        </is>
      </c>
      <c r="D2" s="2" t="inlineStr">
        <is>
          <t>Assignment (%)</t>
        </is>
      </c>
      <c r="E2" s="2" t="inlineStr">
        <is>
          <t>Final Exam (%)</t>
        </is>
      </c>
      <c r="F2" s="2" t="inlineStr">
        <is>
          <t>In-Class (%)</t>
        </is>
      </c>
      <c r="G2" s="2" t="inlineStr">
        <is>
          <t>Online Forum (%)</t>
        </is>
      </c>
    </row>
    <row r="3">
      <c r="A3" s="3" t="inlineStr">
        <is>
          <t>S001</t>
        </is>
      </c>
      <c r="B3" s="4" t="inlineStr">
        <is>
          <t>Anna Bauer</t>
        </is>
      </c>
      <c r="C3" s="3" t="n">
        <v>72</v>
      </c>
      <c r="D3" s="3" t="n">
        <v>85</v>
      </c>
      <c r="E3" s="3" t="n">
        <v>68</v>
      </c>
      <c r="F3" s="3" t="n">
        <v>90</v>
      </c>
      <c r="G3" s="3" t="n">
        <v>75</v>
      </c>
      <c r="H3" s="3">
        <f>ROUND((C3*0.2+D3*0.2+E3*0.4+F3*0.1+G3*0.1),1)</f>
        <v/>
      </c>
    </row>
    <row r="4">
      <c r="A4" s="5" t="inlineStr">
        <is>
          <t>S002</t>
        </is>
      </c>
      <c r="B4" s="6" t="inlineStr">
        <is>
          <t>Lukas Hofer</t>
        </is>
      </c>
      <c r="C4" s="5" t="n">
        <v>55</v>
      </c>
      <c r="D4" s="5" t="n">
        <v>60</v>
      </c>
      <c r="E4" s="5" t="n">
        <v>49</v>
      </c>
      <c r="F4" s="5" t="n">
        <v>70</v>
      </c>
      <c r="G4" s="5" t="n">
        <v>55</v>
      </c>
      <c r="H4" s="5">
        <f>ROUND((C4*0.2+D4*0.2+E4*0.4+F4*0.1+G4*0.1),1)</f>
        <v/>
      </c>
    </row>
    <row r="5">
      <c r="A5" s="3" t="inlineStr">
        <is>
          <t>S003</t>
        </is>
      </c>
      <c r="B5" s="4" t="inlineStr">
        <is>
          <t>Maria Gruber</t>
        </is>
      </c>
      <c r="C5" s="3" t="n">
        <v>88</v>
      </c>
      <c r="D5" s="3" t="n">
        <v>92</v>
      </c>
      <c r="E5" s="3" t="n">
        <v>91</v>
      </c>
      <c r="F5" s="3" t="n">
        <v>95</v>
      </c>
      <c r="G5" s="3" t="n">
        <v>88</v>
      </c>
      <c r="H5" s="3">
        <f>ROUND((C5*0.2+D5*0.2+E5*0.4+F5*0.1+G5*0.1),1)</f>
        <v/>
      </c>
    </row>
    <row r="6">
      <c r="A6" s="5" t="inlineStr">
        <is>
          <t>S004</t>
        </is>
      </c>
      <c r="B6" s="6" t="inlineStr">
        <is>
          <t>Felix Maier</t>
        </is>
      </c>
      <c r="C6" s="5" t="n">
        <v>61</v>
      </c>
      <c r="D6" s="5" t="n">
        <v>70</v>
      </c>
      <c r="E6" s="5" t="n">
        <v>58</v>
      </c>
      <c r="F6" s="5" t="n">
        <v>65</v>
      </c>
      <c r="G6" s="5" t="n">
        <v>60</v>
      </c>
      <c r="H6" s="5">
        <f>ROUND((C6*0.2+D6*0.2+E6*0.4+F6*0.1+G6*0.1),1)</f>
        <v/>
      </c>
    </row>
    <row r="7">
      <c r="A7" s="3" t="inlineStr">
        <is>
          <t>S005</t>
        </is>
      </c>
      <c r="B7" s="4" t="inlineStr">
        <is>
          <t>Sophie Huber</t>
        </is>
      </c>
      <c r="C7" s="3" t="n">
        <v>77</v>
      </c>
      <c r="D7" s="3" t="n">
        <v>80</v>
      </c>
      <c r="E7" s="3" t="n">
        <v>74</v>
      </c>
      <c r="F7" s="3" t="n">
        <v>85</v>
      </c>
      <c r="G7" s="3" t="n">
        <v>72</v>
      </c>
      <c r="H7" s="3">
        <f>ROUND((C7*0.2+D7*0.2+E7*0.4+F7*0.1+G7*0.1),1)</f>
        <v/>
      </c>
    </row>
    <row r="8">
      <c r="A8" s="5" t="inlineStr">
        <is>
          <t>S006</t>
        </is>
      </c>
      <c r="B8" s="6" t="inlineStr">
        <is>
          <t>David Steiner</t>
        </is>
      </c>
      <c r="C8" s="5" t="n">
        <v>44</v>
      </c>
      <c r="D8" s="5" t="n">
        <v>50</v>
      </c>
      <c r="E8" s="5" t="n">
        <v>39</v>
      </c>
      <c r="F8" s="5" t="n">
        <v>55</v>
      </c>
      <c r="G8" s="5" t="n">
        <v>40</v>
      </c>
      <c r="H8" s="5">
        <f>ROUND((C8*0.2+D8*0.2+E8*0.4+F8*0.1+G8*0.1),1)</f>
        <v/>
      </c>
    </row>
    <row r="9">
      <c r="A9" s="3" t="inlineStr">
        <is>
          <t>S007</t>
        </is>
      </c>
      <c r="B9" s="4" t="inlineStr">
        <is>
          <t>Laura Müller</t>
        </is>
      </c>
      <c r="C9" s="3" t="n">
        <v>90</v>
      </c>
      <c r="D9" s="3" t="n">
        <v>95</v>
      </c>
      <c r="E9" s="3" t="n">
        <v>88</v>
      </c>
      <c r="F9" s="3" t="n">
        <v>98</v>
      </c>
      <c r="G9" s="3" t="n">
        <v>92</v>
      </c>
      <c r="H9" s="3">
        <f>ROUND((C9*0.2+D9*0.2+E9*0.4+F9*0.1+G9*0.1),1)</f>
        <v/>
      </c>
    </row>
    <row r="10">
      <c r="A10" s="5" t="inlineStr">
        <is>
          <t>S008</t>
        </is>
      </c>
      <c r="B10" s="6" t="inlineStr">
        <is>
          <t>Thomas Berger</t>
        </is>
      </c>
      <c r="C10" s="5" t="n">
        <v>66</v>
      </c>
      <c r="D10" s="5" t="n">
        <v>72</v>
      </c>
      <c r="E10" s="5" t="n">
        <v>63</v>
      </c>
      <c r="F10" s="5" t="n">
        <v>78</v>
      </c>
      <c r="G10" s="5" t="n">
        <v>68</v>
      </c>
      <c r="H10" s="5">
        <f>ROUND((C10*0.2+D10*0.2+E10*0.4+F10*0.1+G10*0.1),1)</f>
        <v/>
      </c>
    </row>
    <row r="11">
      <c r="A11" s="3" t="inlineStr">
        <is>
          <t>S009</t>
        </is>
      </c>
      <c r="B11" s="4" t="inlineStr">
        <is>
          <t>Emma Schwarz</t>
        </is>
      </c>
      <c r="C11" s="3" t="n">
        <v>83</v>
      </c>
      <c r="D11" s="3" t="n">
        <v>88</v>
      </c>
      <c r="E11" s="3" t="n">
        <v>79</v>
      </c>
      <c r="F11" s="3" t="n">
        <v>92</v>
      </c>
      <c r="G11" s="3" t="n">
        <v>85</v>
      </c>
      <c r="H11" s="3">
        <f>ROUND((C11*0.2+D11*0.2+E11*0.4+F11*0.1+G11*0.1),1)</f>
        <v/>
      </c>
    </row>
    <row r="12">
      <c r="A12" s="5" t="inlineStr">
        <is>
          <t>S010</t>
        </is>
      </c>
      <c r="B12" s="6" t="inlineStr">
        <is>
          <t>Nico Wagner</t>
        </is>
      </c>
      <c r="C12" s="5" t="n">
        <v>58</v>
      </c>
      <c r="D12" s="5" t="n">
        <v>65</v>
      </c>
      <c r="E12" s="5" t="n">
        <v>52</v>
      </c>
      <c r="F12" s="5" t="n">
        <v>60</v>
      </c>
      <c r="G12" s="5" t="n">
        <v>58</v>
      </c>
      <c r="H12" s="5">
        <f>ROUND((C12*0.2+D12*0.2+E12*0.4+F12*0.1+G12*0.1),1)</f>
        <v/>
      </c>
    </row>
  </sheetData>
  <mergeCells count="5">
    <mergeCell ref="C1:E1"/>
    <mergeCell ref="B1:B2"/>
    <mergeCell ref="H1:H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</cols>
  <sheetData>
    <row r="1">
      <c r="A1" s="7" t="inlineStr">
        <is>
          <t>Category</t>
        </is>
      </c>
      <c r="B1" s="7" t="inlineStr">
        <is>
          <t>Average Score (%)</t>
        </is>
      </c>
      <c r="C1" s="7" t="inlineStr">
        <is>
          <t>Max Score (%)</t>
        </is>
      </c>
      <c r="D1" s="7" t="inlineStr">
        <is>
          <t>Min Score (%)</t>
        </is>
      </c>
      <c r="E1" s="7" t="inlineStr">
        <is>
          <t>Pass Rate (%)</t>
        </is>
      </c>
    </row>
    <row r="2">
      <c r="A2" s="8" t="inlineStr">
        <is>
          <t>Midterm</t>
        </is>
      </c>
      <c r="B2" s="5">
        <f>ROUND(AVERAGE('Course Performance'!C3:C12),1)</f>
        <v/>
      </c>
      <c r="C2" s="5">
        <f>MAX('Course Performance'!C3:C12)</f>
        <v/>
      </c>
      <c r="D2" s="5">
        <f>MIN('Course Performance'!C3:C12)</f>
        <v/>
      </c>
      <c r="E2" s="5">
        <f>ROUND(COUNTIF('Course Performance'!C3:C12,"&gt;="&amp;50)/COUNT('Course Performance'!C3:C12)*100,1)</f>
        <v/>
      </c>
    </row>
    <row r="3">
      <c r="A3" s="9" t="inlineStr">
        <is>
          <t>Assignment</t>
        </is>
      </c>
      <c r="B3" s="3">
        <f>ROUND(AVERAGE('Course Performance'!D3:D12),1)</f>
        <v/>
      </c>
      <c r="C3" s="3">
        <f>MAX('Course Performance'!D3:D12)</f>
        <v/>
      </c>
      <c r="D3" s="3">
        <f>MIN('Course Performance'!D3:D12)</f>
        <v/>
      </c>
      <c r="E3" s="3">
        <f>ROUND(COUNTIF('Course Performance'!D3:D12,"&gt;="&amp;50)/COUNT('Course Performance'!D3:D12)*100,1)</f>
        <v/>
      </c>
    </row>
    <row r="4">
      <c r="A4" s="8" t="inlineStr">
        <is>
          <t>Final Exam</t>
        </is>
      </c>
      <c r="B4" s="5">
        <f>ROUND(AVERAGE('Course Performance'!E3:E12),1)</f>
        <v/>
      </c>
      <c r="C4" s="5">
        <f>MAX('Course Performance'!E3:E12)</f>
        <v/>
      </c>
      <c r="D4" s="5">
        <f>MIN('Course Performance'!E3:E12)</f>
        <v/>
      </c>
      <c r="E4" s="5">
        <f>ROUND(COUNTIF('Course Performance'!E3:E12,"&gt;="&amp;50)/COUNT('Course Performance'!E3:E12)*100,1)</f>
        <v/>
      </c>
    </row>
    <row r="5">
      <c r="A5" s="9" t="inlineStr">
        <is>
          <t>In-Class Part.</t>
        </is>
      </c>
      <c r="B5" s="3">
        <f>ROUND(AVERAGE('Course Performance'!F3:F12),1)</f>
        <v/>
      </c>
      <c r="C5" s="3">
        <f>MAX('Course Performance'!F3:F12)</f>
        <v/>
      </c>
      <c r="D5" s="3">
        <f>MIN('Course Performance'!F3:F12)</f>
        <v/>
      </c>
      <c r="E5" s="3">
        <f>ROUND(COUNTIF('Course Performance'!F3:F12,"&gt;="&amp;50)/COUNT('Course Performance'!F3:F12)*100,1)</f>
        <v/>
      </c>
    </row>
    <row r="6">
      <c r="A6" s="8" t="inlineStr">
        <is>
          <t>Online Forum</t>
        </is>
      </c>
      <c r="B6" s="5">
        <f>ROUND(AVERAGE('Course Performance'!G3:G12),1)</f>
        <v/>
      </c>
      <c r="C6" s="5">
        <f>MAX('Course Performance'!G3:G12)</f>
        <v/>
      </c>
      <c r="D6" s="5">
        <f>MIN('Course Performance'!G3:G12)</f>
        <v/>
      </c>
      <c r="E6" s="5">
        <f>ROUND(COUNTIF('Course Performance'!G3:G12,"&gt;="&amp;50)/COUNT('Course Performance'!G3:G12)*100,1)</f>
        <v/>
      </c>
    </row>
    <row r="7">
      <c r="A7" s="9" t="inlineStr">
        <is>
          <t>Final Grade</t>
        </is>
      </c>
      <c r="B7" s="3">
        <f>ROUND(AVERAGE('Course Performance'!H3:H12),1)</f>
        <v/>
      </c>
      <c r="C7" s="3">
        <f>MAX('Course Performance'!H3:H12)</f>
        <v/>
      </c>
      <c r="D7" s="3">
        <f>MIN('Course Performance'!H3:H12)</f>
        <v/>
      </c>
      <c r="E7" s="3">
        <f>ROUND(COUNTIF('Course Performance'!H3:H12,"&gt;="&amp;50)/COUNT('Course Performance'!H3:H12)*100,1)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2026-03-11T10:06:33Z</dcterms:created>
  <dcterms:modified xmlns:dcterms="http://purl.org/dc/terms/" xmlns:xsi="http://www.w3.org/2001/XMLSchema-instance" xsi:type="dcterms:W3CDTF">2026-03-11T10:06:33Z</dcterms:modified>
</cp:coreProperties>
</file>